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F:\Data Analysis\Excel\Assignment3\"/>
    </mc:Choice>
  </mc:AlternateContent>
  <xr:revisionPtr revIDLastSave="0" documentId="13_ncr:1_{06C6DE7E-F0FB-4FA0-9D79-14979CAE4472}" xr6:coauthVersionLast="47" xr6:coauthVersionMax="47" xr10:uidLastSave="{00000000-0000-0000-0000-000000000000}"/>
  <bookViews>
    <workbookView xWindow="-108" yWindow="-108" windowWidth="23256" windowHeight="12456" activeTab="1" xr2:uid="{696B0B23-E7DB-4817-88C8-8F37AC398373}"/>
  </bookViews>
  <sheets>
    <sheet name="Sales Data" sheetId="3" r:id="rId1"/>
    <sheet name="Pivot Report" sheetId="4" r:id="rId2"/>
    <sheet name="Goal Seek Result" sheetId="5" r:id="rId3"/>
    <sheet name="Scenario Summary" sheetId="6" r:id="rId4"/>
  </sheets>
  <definedNames>
    <definedName name="Slicer_Product">#N/A</definedName>
    <definedName name="Slicer_Region">#N/A</definedName>
  </definedNames>
  <calcPr calcId="191029"/>
  <pivotCaches>
    <pivotCache cacheId="15"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21" i="3" l="1"/>
  <c r="G20" i="3"/>
  <c r="G19" i="3"/>
  <c r="G18" i="3"/>
  <c r="G17" i="3"/>
  <c r="G3" i="3"/>
  <c r="G4" i="3"/>
  <c r="G5" i="3"/>
  <c r="G6" i="3"/>
  <c r="G7" i="3"/>
  <c r="G8" i="3"/>
  <c r="G9" i="3"/>
  <c r="G10" i="3"/>
  <c r="G11" i="3"/>
  <c r="G12" i="3"/>
  <c r="G13" i="3"/>
  <c r="G14" i="3"/>
  <c r="G15" i="3"/>
  <c r="G16" i="3"/>
  <c r="G2" i="3"/>
</calcChain>
</file>

<file path=xl/sharedStrings.xml><?xml version="1.0" encoding="utf-8"?>
<sst xmlns="http://schemas.openxmlformats.org/spreadsheetml/2006/main" count="105" uniqueCount="66">
  <si>
    <t>Order Date</t>
  </si>
  <si>
    <t>Region</t>
  </si>
  <si>
    <t>Salesperson</t>
  </si>
  <si>
    <t>Product</t>
  </si>
  <si>
    <t>Quantity</t>
  </si>
  <si>
    <t>Unit Price</t>
  </si>
  <si>
    <t>Total Sales</t>
  </si>
  <si>
    <t>North</t>
  </si>
  <si>
    <t>South</t>
  </si>
  <si>
    <t>East</t>
  </si>
  <si>
    <t>West</t>
  </si>
  <si>
    <t>Arnab</t>
  </si>
  <si>
    <t>Prottay</t>
  </si>
  <si>
    <t>Arpita</t>
  </si>
  <si>
    <t>Akash</t>
  </si>
  <si>
    <t>Rasel</t>
  </si>
  <si>
    <t>Karim</t>
  </si>
  <si>
    <t>Rahim</t>
  </si>
  <si>
    <t>Tomal</t>
  </si>
  <si>
    <t>Abhik</t>
  </si>
  <si>
    <t>Pronoy</t>
  </si>
  <si>
    <t>Ronaldo</t>
  </si>
  <si>
    <t>Purba</t>
  </si>
  <si>
    <t>Neymar</t>
  </si>
  <si>
    <t>Mbappe</t>
  </si>
  <si>
    <t>Marcelo</t>
  </si>
  <si>
    <t>Laptop</t>
  </si>
  <si>
    <t>Tablet</t>
  </si>
  <si>
    <t>Smart Phone</t>
  </si>
  <si>
    <t>Mouse</t>
  </si>
  <si>
    <t>PC</t>
  </si>
  <si>
    <t>Grand Total</t>
  </si>
  <si>
    <t>Sum of Total Sales</t>
  </si>
  <si>
    <t>Ozil</t>
  </si>
  <si>
    <t>Saha</t>
  </si>
  <si>
    <t>Sakib</t>
  </si>
  <si>
    <t>Rakib</t>
  </si>
  <si>
    <t>Pepe</t>
  </si>
  <si>
    <t>Selected Record</t>
  </si>
  <si>
    <t>Original Quantity</t>
  </si>
  <si>
    <t>Original Total Sales</t>
  </si>
  <si>
    <t>Target Sales</t>
  </si>
  <si>
    <t>Goal Seek Result(Quantity)</t>
  </si>
  <si>
    <t>Row 5</t>
  </si>
  <si>
    <t>$E$2</t>
  </si>
  <si>
    <t>$F$2</t>
  </si>
  <si>
    <t>$G$2</t>
  </si>
  <si>
    <t>Low Sales</t>
  </si>
  <si>
    <t>Created by Lenovo on 10/1/2026</t>
  </si>
  <si>
    <t>Medium Sales</t>
  </si>
  <si>
    <t>High Sales</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</si>
  <si>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</si>
  <si>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</si>
  <si>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</si>
  <si>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</si>
  <si>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</si>
  <si>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</si>
  <si>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</si>
  <si>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(All)</t>
  </si>
  <si>
    <t>Years (Order Date)</t>
  </si>
  <si>
    <t>Months (Order Date)</t>
  </si>
  <si>
    <t>2026</t>
  </si>
  <si>
    <t>Jul</t>
  </si>
  <si>
    <t>Aug</t>
  </si>
  <si>
    <t>Sep</t>
  </si>
  <si>
    <t>2026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</si>
</sst>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8" x14ac:knownFonts="1">
    <font>
      <sz val="11"/>
      <color theme="1"/>
      <name val="Aptos Narrow"/>
      <family val="2"/>
      <scheme val="minor"/>
    </font>
    <font>
      <sz val="11"/>
      <color theme="1"/>
      <name val="Aptos Narrow"/>
      <family val="2"/>
      <scheme val="minor"/>
    </font>
    <font>
      <sz val="12"/>
      <color theme="1"/>
      <name val="Times New Roman"/>
      <family val="1"/>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sz val="8"/>
      <color theme="1"/>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rgb="FF92D050"/>
        <bgColor indexed="64"/>
      </patternFill>
    </fill>
  </fills>
  <borders count="11">
    <border>
      <left/>
      <right/>
      <top/>
      <bottom/>
      <diagonal/>
    </border>
    <border>
      <left style="thick">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29">
    <xf numFmtId="0" fontId="0" fillId="0" borderId="0" xfId="0"/>
    <xf numFmtId="0" fontId="0" fillId="0" borderId="0" xfId="0" pivotButton="1"/>
    <xf numFmtId="0" fontId="2" fillId="0" borderId="0" xfId="0" applyFont="1" applyAlignment="1">
      <alignment horizontal="center" vertical="center"/>
    </xf>
    <xf numFmtId="14" fontId="2" fillId="0" borderId="0" xfId="0" applyNumberFormat="1" applyFont="1" applyAlignment="1">
      <alignment horizontal="center" vertical="center"/>
    </xf>
    <xf numFmtId="44" fontId="2" fillId="0" borderId="0" xfId="1" applyFont="1" applyAlignment="1">
      <alignment horizontal="center" vertical="center"/>
    </xf>
    <xf numFmtId="44" fontId="0" fillId="0" borderId="0" xfId="0" applyNumberFormat="1"/>
    <xf numFmtId="0" fontId="2" fillId="2" borderId="0" xfId="0" applyFont="1" applyFill="1" applyAlignment="1">
      <alignment horizontal="center" vertical="center"/>
    </xf>
    <xf numFmtId="44" fontId="2" fillId="2" borderId="0" xfId="1" applyFont="1" applyFill="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4" fontId="2" fillId="0" borderId="4" xfId="1"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44" fontId="0" fillId="0" borderId="8" xfId="0" applyNumberFormat="1" applyBorder="1"/>
    <xf numFmtId="0" fontId="3" fillId="3" borderId="9" xfId="0" applyFont="1" applyFill="1" applyBorder="1" applyAlignment="1">
      <alignment horizontal="left"/>
    </xf>
    <xf numFmtId="0" fontId="3" fillId="3" borderId="7" xfId="0" applyFont="1" applyFill="1" applyBorder="1" applyAlignment="1">
      <alignment horizontal="left"/>
    </xf>
    <xf numFmtId="0" fontId="0" fillId="0" borderId="10" xfId="0" applyBorder="1"/>
    <xf numFmtId="0" fontId="4" fillId="4" borderId="0" xfId="0" applyFont="1" applyFill="1" applyAlignment="1">
      <alignment horizontal="left"/>
    </xf>
    <xf numFmtId="0" fontId="5" fillId="4" borderId="10" xfId="0" applyFont="1" applyFill="1" applyBorder="1" applyAlignment="1">
      <alignment horizontal="left"/>
    </xf>
    <xf numFmtId="0" fontId="4" fillId="4" borderId="8" xfId="0" applyFont="1" applyFill="1" applyBorder="1" applyAlignment="1">
      <alignment horizontal="left"/>
    </xf>
    <xf numFmtId="0" fontId="6" fillId="3" borderId="7" xfId="0" applyFont="1" applyFill="1" applyBorder="1" applyAlignment="1">
      <alignment horizontal="right"/>
    </xf>
    <xf numFmtId="0" fontId="6" fillId="3" borderId="9" xfId="0" applyFont="1" applyFill="1" applyBorder="1" applyAlignment="1">
      <alignment horizontal="right"/>
    </xf>
    <xf numFmtId="0" fontId="0" fillId="5" borderId="0" xfId="0" applyFill="1"/>
    <xf numFmtId="44" fontId="0" fillId="5" borderId="0" xfId="0" applyNumberFormat="1" applyFill="1"/>
    <xf numFmtId="0" fontId="7" fillId="0" borderId="0" xfId="0" applyFont="1" applyAlignment="1">
      <alignment vertical="top" wrapText="1"/>
    </xf>
    <xf numFmtId="0" fontId="2" fillId="6" borderId="0" xfId="0" applyFont="1" applyFill="1" applyAlignment="1">
      <alignment horizontal="center" vertical="center"/>
    </xf>
    <xf numFmtId="44" fontId="2" fillId="6" borderId="0" xfId="1" applyFont="1" applyFill="1" applyAlignment="1">
      <alignment horizontal="center" vertical="center"/>
    </xf>
  </cellXfs>
  <cellStyles count="2">
    <cellStyle name="Currency" xfId="1" builtinId="4"/>
    <cellStyle name="Normal" xfId="0" builtinId="0"/>
  </cellStyles>
  <dxfs count="9">
    <dxf>
      <font>
        <b val="0"/>
        <i val="0"/>
        <strike val="0"/>
        <outline val="0"/>
        <shadow val="0"/>
        <u val="none"/>
        <vertAlign val="baseline"/>
        <sz val="12"/>
        <color theme="1"/>
        <name val="Times New Roman"/>
        <family val="1"/>
        <scheme val="none"/>
      </font>
      <numFmt numFmtId="19" formatCode="m/d/yyyy"/>
      <alignment horizontal="center" vertical="center" textRotation="0" wrapText="0" indent="0" justifyLastLine="0" shrinkToFit="0" readingOrder="0"/>
    </dxf>
    <dxf>
      <font>
        <b val="0"/>
        <i val="0"/>
        <strike val="0"/>
        <outline val="0"/>
        <shadow val="0"/>
        <u val="none"/>
        <vertAlign val="baseline"/>
        <sz val="12"/>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b val="0"/>
        <i val="0"/>
        <strike val="0"/>
        <outline val="0"/>
        <shadow val="0"/>
        <u val="none"/>
        <vertAlign val="baseline"/>
        <sz val="12"/>
        <color theme="1"/>
        <name val="Times New Roman"/>
        <family val="1"/>
        <scheme val="none"/>
      </font>
      <alignment horizontal="center" vertical="center" textRotation="0" wrapText="0" indent="0" justifyLastLine="0" shrinkToFit="0" readingOrder="0"/>
    </dxf>
    <dxf>
      <font>
        <b val="0"/>
        <i val="0"/>
        <strike val="0"/>
        <outline val="0"/>
        <shadow val="0"/>
        <u val="none"/>
        <vertAlign val="baseline"/>
        <sz val="12"/>
        <color theme="1"/>
        <name val="Times New Roman"/>
        <family val="1"/>
        <scheme val="none"/>
      </font>
      <alignment horizontal="center" vertical="center" textRotation="0" wrapText="0" indent="0" justifyLastLine="0" shrinkToFit="0" readingOrder="0"/>
    </dxf>
    <dxf>
      <font>
        <b val="0"/>
        <i val="0"/>
        <strike val="0"/>
        <outline val="0"/>
        <shadow val="0"/>
        <u val="none"/>
        <vertAlign val="baseline"/>
        <sz val="12"/>
        <color theme="1"/>
        <name val="Times New Roman"/>
        <family val="1"/>
        <scheme val="none"/>
      </font>
      <alignment horizontal="center" vertical="center" textRotation="0" wrapText="0" indent="0" justifyLastLine="0" shrinkToFit="0" readingOrder="0"/>
    </dxf>
    <dxf>
      <font>
        <b val="0"/>
        <i val="0"/>
        <strike val="0"/>
        <outline val="0"/>
        <shadow val="0"/>
        <u val="none"/>
        <vertAlign val="baseline"/>
        <sz val="12"/>
        <color theme="1"/>
        <name val="Times New Roman"/>
        <family val="1"/>
        <scheme val="none"/>
      </font>
      <alignment horizontal="center" vertical="center" textRotation="0" wrapText="0" indent="0" justifyLastLine="0" shrinkToFit="0" readingOrder="0"/>
    </dxf>
    <dxf>
      <font>
        <b val="0"/>
        <i val="0"/>
        <strike val="0"/>
        <outline val="0"/>
        <shadow val="0"/>
        <u val="none"/>
        <vertAlign val="baseline"/>
        <sz val="12"/>
        <color theme="1"/>
        <name val="Times New Roman"/>
        <family val="1"/>
        <scheme val="none"/>
      </font>
      <alignment horizontal="center" vertical="center" textRotation="0" wrapText="0" indent="0" justifyLastLine="0" shrinkToFit="0" readingOrder="0"/>
    </dxf>
  </dxfs>
  <tableStyles count="2" defaultTableStyle="TableStyleMedium2" defaultPivotStyle="PivotStyleLight16">
    <tableStyle name="Table Style 1" pivot="0" count="0" xr9:uid="{1FE307E2-7508-46DC-9E47-4CC422F69B6B}"/>
    <tableStyle name="Table Style 2" pivot="0" count="0" xr9:uid="{A2D42137-618E-47BB-8117-7B72C9CDFD2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8</xdr:col>
      <xdr:colOff>281940</xdr:colOff>
      <xdr:row>1</xdr:row>
      <xdr:rowOff>45720</xdr:rowOff>
    </xdr:from>
    <xdr:to>
      <xdr:col>11</xdr:col>
      <xdr:colOff>38100</xdr:colOff>
      <xdr:row>15</xdr:row>
      <xdr:rowOff>66675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C80F11DE-9DEC-D4AF-4DCF-989FB08079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894320" y="2286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274320</xdr:colOff>
      <xdr:row>2</xdr:row>
      <xdr:rowOff>129540</xdr:rowOff>
    </xdr:from>
    <xdr:to>
      <xdr:col>14</xdr:col>
      <xdr:colOff>274320</xdr:colOff>
      <xdr:row>16</xdr:row>
      <xdr:rowOff>150495</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677C2F11-5511-E511-15DB-65822B13CAD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959340" y="4953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96.19185949074" createdVersion="8" refreshedVersion="8" minRefreshableVersion="3" recordCount="20" xr:uid="{E1B15FCF-8417-4698-B0E5-88EE4F83493D}">
  <cacheSource type="worksheet">
    <worksheetSource name="Table2"/>
  </cacheSource>
  <cacheFields count="9">
    <cacheField name="Order Date" numFmtId="14">
      <sharedItems containsSemiMixedTypes="0" containsNonDate="0" containsDate="1" containsString="0" minDate="2026-07-09T00:00:00" maxDate="2026-09-18T00:00:00" count="20">
        <d v="2026-07-09T00:00:00"/>
        <d v="2026-07-15T00:00:00"/>
        <d v="2026-07-23T00:00:00"/>
        <d v="2026-07-29T00:00:00"/>
        <d v="2026-08-02T00:00:00"/>
        <d v="2026-08-04T00:00:00"/>
        <d v="2026-08-11T00:00:00"/>
        <d v="2026-08-12T00:00:00"/>
        <d v="2026-08-15T00:00:00"/>
        <d v="2026-08-18T00:00:00"/>
        <d v="2026-08-25T00:00:00"/>
        <d v="2026-08-28T00:00:00"/>
        <d v="2026-09-01T00:00:00"/>
        <d v="2026-09-02T00:00:00"/>
        <d v="2026-09-03T00:00:00"/>
        <d v="2026-09-10T00:00:00"/>
        <d v="2026-09-11T00:00:00"/>
        <d v="2026-09-13T00:00:00"/>
        <d v="2026-09-14T00:00:00"/>
        <d v="2026-09-17T00:00:00"/>
      </sharedItems>
      <fieldGroup par="8"/>
    </cacheField>
    <cacheField name="Region" numFmtId="0">
      <sharedItems count="4">
        <s v="North"/>
        <s v="South"/>
        <s v="East"/>
        <s v="West"/>
      </sharedItems>
    </cacheField>
    <cacheField name="Salesperson" numFmtId="0">
      <sharedItems/>
    </cacheField>
    <cacheField name="Product" numFmtId="0">
      <sharedItems count="5">
        <s v="Laptop"/>
        <s v="Tablet"/>
        <s v="Smart Phone"/>
        <s v="Mouse"/>
        <s v="PC"/>
      </sharedItems>
    </cacheField>
    <cacheField name="Quantity" numFmtId="0">
      <sharedItems containsSemiMixedTypes="0" containsString="0" containsNumber="1" minValue="1" maxValue="55.5555555555556"/>
    </cacheField>
    <cacheField name="Unit Price" numFmtId="44">
      <sharedItems containsSemiMixedTypes="0" containsString="0" containsNumber="1" containsInteger="1" minValue="90" maxValue="5000"/>
    </cacheField>
    <cacheField name="Total Sales" numFmtId="44">
      <sharedItems containsSemiMixedTypes="0" containsString="0" containsNumber="1" minValue="450" maxValue="75000"/>
    </cacheField>
    <cacheField name="Months (Order Date)" numFmtId="0" databaseField="0">
      <fieldGroup base="0">
        <rangePr groupBy="months" startDate="2026-07-09T00:00:00" endDate="2026-09-18T00:00:00"/>
        <groupItems count="14">
          <s v="&lt;7/9/2026"/>
          <s v="Jan"/>
          <s v="Feb"/>
          <s v="Mar"/>
          <s v="Apr"/>
          <s v="May"/>
          <s v="Jun"/>
          <s v="Jul"/>
          <s v="Aug"/>
          <s v="Sep"/>
          <s v="Oct"/>
          <s v="Nov"/>
          <s v="Dec"/>
          <s v="&gt;9/18/2026"/>
        </groupItems>
      </fieldGroup>
    </cacheField>
    <cacheField name="Years (Order Date)" numFmtId="0" databaseField="0">
      <fieldGroup base="0">
        <rangePr groupBy="years" startDate="2026-07-09T00:00:00" endDate="2026-09-18T00:00:00"/>
        <groupItems count="3">
          <s v="&lt;7/9/2026"/>
          <s v="2026"/>
          <s v="&gt;9/18/2026"/>
        </groupItems>
      </fieldGroup>
    </cacheField>
  </cacheFields>
  <extLst>
    <ext xmlns:x14="http://schemas.microsoft.com/office/spreadsheetml/2009/9/main" uri="{725AE2AE-9491-48be-B2B4-4EB974FC3084}">
      <x14:pivotCacheDefinition pivotCacheId="9476540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s v="Arnab"/>
    <x v="0"/>
    <n v="15"/>
    <n v="5000"/>
    <n v="75000"/>
  </r>
  <r>
    <x v="1"/>
    <x v="1"/>
    <s v="Prottay"/>
    <x v="1"/>
    <n v="7"/>
    <n v="550"/>
    <n v="3850"/>
  </r>
  <r>
    <x v="2"/>
    <x v="2"/>
    <s v="Arpita"/>
    <x v="2"/>
    <n v="9"/>
    <n v="450"/>
    <n v="4050"/>
  </r>
  <r>
    <x v="3"/>
    <x v="3"/>
    <s v="Akash"/>
    <x v="3"/>
    <n v="55.5555555555556"/>
    <n v="90"/>
    <n v="5000.0000000000036"/>
  </r>
  <r>
    <x v="4"/>
    <x v="1"/>
    <s v="Rasel"/>
    <x v="4"/>
    <n v="1"/>
    <n v="1150"/>
    <n v="1150"/>
  </r>
  <r>
    <x v="5"/>
    <x v="2"/>
    <s v="Karim"/>
    <x v="2"/>
    <n v="6"/>
    <n v="450"/>
    <n v="2700"/>
  </r>
  <r>
    <x v="6"/>
    <x v="0"/>
    <s v="Rahim"/>
    <x v="2"/>
    <n v="5"/>
    <n v="450"/>
    <n v="2250"/>
  </r>
  <r>
    <x v="7"/>
    <x v="3"/>
    <s v="Tomal"/>
    <x v="3"/>
    <n v="8"/>
    <n v="90"/>
    <n v="720"/>
  </r>
  <r>
    <x v="8"/>
    <x v="3"/>
    <s v="Abhik"/>
    <x v="3"/>
    <n v="8"/>
    <n v="90"/>
    <n v="720"/>
  </r>
  <r>
    <x v="9"/>
    <x v="2"/>
    <s v="Pronoy"/>
    <x v="0"/>
    <n v="3"/>
    <n v="800"/>
    <n v="2400"/>
  </r>
  <r>
    <x v="10"/>
    <x v="2"/>
    <s v="Ronaldo"/>
    <x v="2"/>
    <n v="7"/>
    <n v="450"/>
    <n v="3150"/>
  </r>
  <r>
    <x v="11"/>
    <x v="0"/>
    <s v="Purba"/>
    <x v="4"/>
    <n v="1"/>
    <n v="1150"/>
    <n v="1150"/>
  </r>
  <r>
    <x v="12"/>
    <x v="0"/>
    <s v="Neymar"/>
    <x v="2"/>
    <n v="9"/>
    <n v="450"/>
    <n v="4050"/>
  </r>
  <r>
    <x v="13"/>
    <x v="0"/>
    <s v="Mbappe"/>
    <x v="1"/>
    <n v="2"/>
    <n v="550"/>
    <n v="1100"/>
  </r>
  <r>
    <x v="14"/>
    <x v="2"/>
    <s v="Marcelo"/>
    <x v="0"/>
    <n v="1"/>
    <n v="800"/>
    <n v="800"/>
  </r>
  <r>
    <x v="15"/>
    <x v="2"/>
    <s v="Ozil"/>
    <x v="3"/>
    <n v="5"/>
    <n v="90"/>
    <n v="450"/>
  </r>
  <r>
    <x v="16"/>
    <x v="1"/>
    <s v="Saha"/>
    <x v="0"/>
    <n v="1"/>
    <n v="800"/>
    <n v="800"/>
  </r>
  <r>
    <x v="17"/>
    <x v="0"/>
    <s v="Sakib"/>
    <x v="4"/>
    <n v="7"/>
    <n v="1150"/>
    <n v="8050"/>
  </r>
  <r>
    <x v="18"/>
    <x v="0"/>
    <s v="Rakib"/>
    <x v="2"/>
    <n v="8"/>
    <n v="450"/>
    <n v="3600"/>
  </r>
  <r>
    <x v="19"/>
    <x v="0"/>
    <s v="Pepe"/>
    <x v="2"/>
    <n v="6"/>
    <n v="450"/>
    <n v="27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BDB4CA-6535-4633-8482-BC382C29782E}" name="PivotTable2" cacheId="1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C9" firstHeaderRow="1" firstDataRow="1" firstDataCol="2" rowPageCount="2" colPageCount="1"/>
  <pivotFields count="9">
    <pivotField compact="0" outline="0" subtotalTop="0" showAll="0" sortType="descending">
      <items count="21">
        <item x="0"/>
        <item x="1"/>
        <item x="2"/>
        <item x="3"/>
        <item x="4"/>
        <item x="5"/>
        <item x="6"/>
        <item x="7"/>
        <item x="8"/>
        <item x="9"/>
        <item x="10"/>
        <item x="11"/>
        <item x="12"/>
        <item x="13"/>
        <item x="14"/>
        <item x="15"/>
        <item x="16"/>
        <item x="17"/>
        <item x="18"/>
        <item x="19"/>
        <item t="default"/>
      </items>
      <autoSortScope>
        <pivotArea dataOnly="0" outline="0" fieldPosition="0">
          <references count="1">
            <reference field="4294967294" count="1" selected="0">
              <x v="0"/>
            </reference>
          </references>
        </pivotArea>
      </autoSortScope>
    </pivotField>
    <pivotField axis="axisPage" compact="0" outline="0" subtotalTop="0" showAll="0">
      <items count="5">
        <item x="2"/>
        <item x="0"/>
        <item x="1"/>
        <item x="3"/>
        <item t="default"/>
      </items>
    </pivotField>
    <pivotField compact="0" outline="0" subtotalTop="0" showAll="0"/>
    <pivotField axis="axisPage" compact="0" outline="0" subtotalTop="0" showAll="0">
      <items count="6">
        <item x="0"/>
        <item x="3"/>
        <item x="4"/>
        <item x="2"/>
        <item x="1"/>
        <item t="default"/>
      </items>
    </pivotField>
    <pivotField compact="0" outline="0" subtotalTop="0" showAll="0"/>
    <pivotField compact="0" numFmtId="44" outline="0" subtotalTop="0" showAll="0"/>
    <pivotField dataField="1" compact="0" numFmtId="44" outline="0" subtotalTop="0" showAll="0"/>
    <pivotField axis="axisRow" compact="0" outline="0" subtotalTop="0" showAll="0">
      <items count="15">
        <item x="0"/>
        <item x="1"/>
        <item x="2"/>
        <item x="3"/>
        <item x="4"/>
        <item x="5"/>
        <item x="6"/>
        <item x="7"/>
        <item x="8"/>
        <item x="9"/>
        <item x="10"/>
        <item x="11"/>
        <item x="12"/>
        <item x="13"/>
        <item t="default"/>
      </items>
    </pivotField>
    <pivotField axis="axisRow" compact="0" outline="0" subtotalTop="0" showAll="0">
      <items count="4">
        <item x="0"/>
        <item x="1"/>
        <item x="2"/>
        <item t="default"/>
      </items>
    </pivotField>
  </pivotFields>
  <rowFields count="2">
    <field x="8"/>
    <field x="7"/>
  </rowFields>
  <rowItems count="5">
    <i>
      <x v="1"/>
      <x v="7"/>
    </i>
    <i r="1">
      <x v="8"/>
    </i>
    <i r="1">
      <x v="9"/>
    </i>
    <i t="default">
      <x v="1"/>
    </i>
    <i t="grand">
      <x/>
    </i>
  </rowItems>
  <colItems count="1">
    <i/>
  </colItems>
  <pageFields count="2">
    <pageField fld="1" hier="-1"/>
    <pageField fld="3" hier="-1"/>
  </pageFields>
  <dataFields count="1">
    <dataField name="Sum of Total Sales" fld="6"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A28C655-039D-4726-B9B7-4DAC95DD24CB}" sourceName="Region">
  <pivotTables>
    <pivotTable tabId="4" name="PivotTable2"/>
  </pivotTables>
  <data>
    <tabular pivotCacheId="947654024">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C369D14-1D77-4A74-A661-5C5879D5ABF8}" sourceName="Product">
  <pivotTables>
    <pivotTable tabId="4" name="PivotTable2"/>
  </pivotTables>
  <data>
    <tabular pivotCacheId="947654024">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C26D7FE-456C-4E15-BD24-3DCBEB7AD75C}" cache="Slicer_Region" caption="Region" rowHeight="247650"/>
  <slicer name="Product" xr10:uid="{1CE7E9D8-FD13-4732-8865-409FA606FFF5}" cache="Slicer_Product" caption="Produc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684DFB2-13D2-41D1-B940-7D5BDD17A16B}" name="Table2" displayName="Table2" ref="A1:G21" totalsRowShown="0" headerRowDxfId="8" dataDxfId="7">
  <autoFilter ref="A1:G21" xr:uid="{C684DFB2-13D2-41D1-B940-7D5BDD17A16B}"/>
  <tableColumns count="7">
    <tableColumn id="1" xr3:uid="{C18E949A-1478-4056-9DE7-6DC702FCA29C}" name="Order Date" dataDxfId="0"/>
    <tableColumn id="2" xr3:uid="{ED96E54D-FE47-442B-B756-F73F259F3898}" name="Region" dataDxfId="1"/>
    <tableColumn id="3" xr3:uid="{A8AFDC18-6DE1-4EF8-9635-29CF8D2F0348}" name="Salesperson" dataDxfId="6"/>
    <tableColumn id="4" xr3:uid="{285A1A2A-8596-4BEC-B3DD-996D11B10453}" name="Product" dataDxfId="5"/>
    <tableColumn id="5" xr3:uid="{8AD2B769-D5E7-47E2-BAD7-C3710427C779}" name="Quantity" dataDxfId="4"/>
    <tableColumn id="6" xr3:uid="{739EA15B-FFE5-4368-B922-C7B0EB03CC5E}" name="Unit Price" dataDxfId="3" dataCellStyle="Currency"/>
    <tableColumn id="7" xr3:uid="{F7798698-7D23-4212-87FB-5CF08675521A}" name="Total Sales" dataDxfId="2" dataCellStyle="Currency">
      <calculatedColumnFormula>(E2*F2)</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8F540-09D8-46CF-9CF4-AD41B3EBF4E8}">
  <dimension ref="A1:G21"/>
  <sheetViews>
    <sheetView workbookViewId="0">
      <selection activeCell="J11" sqref="J11"/>
    </sheetView>
  </sheetViews>
  <sheetFormatPr defaultRowHeight="14.4" x14ac:dyDescent="0.3"/>
  <cols>
    <col min="1" max="7" width="17.88671875" customWidth="1"/>
    <col min="8" max="9" width="14.88671875" customWidth="1"/>
  </cols>
  <sheetData>
    <row r="1" spans="1:7" ht="15.6" x14ac:dyDescent="0.3">
      <c r="A1" s="2" t="s">
        <v>0</v>
      </c>
      <c r="B1" s="2" t="s">
        <v>1</v>
      </c>
      <c r="C1" s="2" t="s">
        <v>2</v>
      </c>
      <c r="D1" s="2" t="s">
        <v>3</v>
      </c>
      <c r="E1" s="2" t="s">
        <v>4</v>
      </c>
      <c r="F1" s="2" t="s">
        <v>5</v>
      </c>
      <c r="G1" s="2" t="s">
        <v>6</v>
      </c>
    </row>
    <row r="2" spans="1:7" ht="15.6" x14ac:dyDescent="0.3">
      <c r="A2" s="3">
        <v>46212</v>
      </c>
      <c r="B2" s="2" t="s">
        <v>7</v>
      </c>
      <c r="C2" s="2" t="s">
        <v>11</v>
      </c>
      <c r="D2" s="2" t="s">
        <v>26</v>
      </c>
      <c r="E2" s="27">
        <v>15</v>
      </c>
      <c r="F2" s="28">
        <v>5000</v>
      </c>
      <c r="G2" s="28">
        <f>(E2*F2)</f>
        <v>75000</v>
      </c>
    </row>
    <row r="3" spans="1:7" ht="15.6" x14ac:dyDescent="0.3">
      <c r="A3" s="3">
        <v>46218</v>
      </c>
      <c r="B3" s="2" t="s">
        <v>8</v>
      </c>
      <c r="C3" s="2" t="s">
        <v>12</v>
      </c>
      <c r="D3" s="2" t="s">
        <v>27</v>
      </c>
      <c r="E3" s="2">
        <v>7</v>
      </c>
      <c r="F3" s="4">
        <v>550</v>
      </c>
      <c r="G3" s="4">
        <f t="shared" ref="G3:G16" si="0">(E3*F3)</f>
        <v>3850</v>
      </c>
    </row>
    <row r="4" spans="1:7" ht="15.6" x14ac:dyDescent="0.3">
      <c r="A4" s="3">
        <v>46226</v>
      </c>
      <c r="B4" s="2" t="s">
        <v>9</v>
      </c>
      <c r="C4" s="2" t="s">
        <v>13</v>
      </c>
      <c r="D4" s="2" t="s">
        <v>28</v>
      </c>
      <c r="E4" s="2">
        <v>9</v>
      </c>
      <c r="F4" s="4">
        <v>450</v>
      </c>
      <c r="G4" s="4">
        <f t="shared" si="0"/>
        <v>4050</v>
      </c>
    </row>
    <row r="5" spans="1:7" ht="15.6" x14ac:dyDescent="0.3">
      <c r="A5" s="3">
        <v>46232</v>
      </c>
      <c r="B5" s="2" t="s">
        <v>10</v>
      </c>
      <c r="C5" s="2" t="s">
        <v>14</v>
      </c>
      <c r="D5" s="2" t="s">
        <v>29</v>
      </c>
      <c r="E5" s="6">
        <v>55.5555555555556</v>
      </c>
      <c r="F5" s="4">
        <v>90</v>
      </c>
      <c r="G5" s="7">
        <f t="shared" si="0"/>
        <v>5000.0000000000036</v>
      </c>
    </row>
    <row r="6" spans="1:7" ht="15.6" x14ac:dyDescent="0.3">
      <c r="A6" s="3">
        <v>46236</v>
      </c>
      <c r="B6" s="2" t="s">
        <v>8</v>
      </c>
      <c r="C6" s="2" t="s">
        <v>15</v>
      </c>
      <c r="D6" s="2" t="s">
        <v>30</v>
      </c>
      <c r="E6" s="2">
        <v>1</v>
      </c>
      <c r="F6" s="4">
        <v>1150</v>
      </c>
      <c r="G6" s="4">
        <f t="shared" si="0"/>
        <v>1150</v>
      </c>
    </row>
    <row r="7" spans="1:7" ht="15.6" x14ac:dyDescent="0.3">
      <c r="A7" s="3">
        <v>46238</v>
      </c>
      <c r="B7" s="2" t="s">
        <v>9</v>
      </c>
      <c r="C7" s="2" t="s">
        <v>16</v>
      </c>
      <c r="D7" s="2" t="s">
        <v>28</v>
      </c>
      <c r="E7" s="2">
        <v>6</v>
      </c>
      <c r="F7" s="4">
        <v>450</v>
      </c>
      <c r="G7" s="4">
        <f t="shared" si="0"/>
        <v>2700</v>
      </c>
    </row>
    <row r="8" spans="1:7" ht="15.6" x14ac:dyDescent="0.3">
      <c r="A8" s="3">
        <v>46245</v>
      </c>
      <c r="B8" s="2" t="s">
        <v>7</v>
      </c>
      <c r="C8" s="2" t="s">
        <v>17</v>
      </c>
      <c r="D8" s="2" t="s">
        <v>28</v>
      </c>
      <c r="E8" s="2">
        <v>5</v>
      </c>
      <c r="F8" s="4">
        <v>450</v>
      </c>
      <c r="G8" s="4">
        <f t="shared" si="0"/>
        <v>2250</v>
      </c>
    </row>
    <row r="9" spans="1:7" ht="15.6" x14ac:dyDescent="0.3">
      <c r="A9" s="3">
        <v>46246</v>
      </c>
      <c r="B9" s="2" t="s">
        <v>10</v>
      </c>
      <c r="C9" s="2" t="s">
        <v>18</v>
      </c>
      <c r="D9" s="2" t="s">
        <v>29</v>
      </c>
      <c r="E9" s="2">
        <v>8</v>
      </c>
      <c r="F9" s="4">
        <v>90</v>
      </c>
      <c r="G9" s="4">
        <f t="shared" si="0"/>
        <v>720</v>
      </c>
    </row>
    <row r="10" spans="1:7" ht="15.6" x14ac:dyDescent="0.3">
      <c r="A10" s="3">
        <v>46249</v>
      </c>
      <c r="B10" s="2" t="s">
        <v>10</v>
      </c>
      <c r="C10" s="2" t="s">
        <v>19</v>
      </c>
      <c r="D10" s="2" t="s">
        <v>29</v>
      </c>
      <c r="E10" s="2">
        <v>8</v>
      </c>
      <c r="F10" s="4">
        <v>90</v>
      </c>
      <c r="G10" s="4">
        <f t="shared" si="0"/>
        <v>720</v>
      </c>
    </row>
    <row r="11" spans="1:7" ht="15.6" x14ac:dyDescent="0.3">
      <c r="A11" s="3">
        <v>46252</v>
      </c>
      <c r="B11" s="2" t="s">
        <v>9</v>
      </c>
      <c r="C11" s="2" t="s">
        <v>20</v>
      </c>
      <c r="D11" s="2" t="s">
        <v>26</v>
      </c>
      <c r="E11" s="2">
        <v>3</v>
      </c>
      <c r="F11" s="4">
        <v>800</v>
      </c>
      <c r="G11" s="4">
        <f t="shared" si="0"/>
        <v>2400</v>
      </c>
    </row>
    <row r="12" spans="1:7" ht="15.6" x14ac:dyDescent="0.3">
      <c r="A12" s="3">
        <v>46259</v>
      </c>
      <c r="B12" s="2" t="s">
        <v>9</v>
      </c>
      <c r="C12" s="2" t="s">
        <v>21</v>
      </c>
      <c r="D12" s="2" t="s">
        <v>28</v>
      </c>
      <c r="E12" s="2">
        <v>7</v>
      </c>
      <c r="F12" s="4">
        <v>450</v>
      </c>
      <c r="G12" s="4">
        <f t="shared" si="0"/>
        <v>3150</v>
      </c>
    </row>
    <row r="13" spans="1:7" ht="15.6" x14ac:dyDescent="0.3">
      <c r="A13" s="3">
        <v>46262</v>
      </c>
      <c r="B13" s="2" t="s">
        <v>7</v>
      </c>
      <c r="C13" s="2" t="s">
        <v>22</v>
      </c>
      <c r="D13" s="2" t="s">
        <v>30</v>
      </c>
      <c r="E13" s="2">
        <v>1</v>
      </c>
      <c r="F13" s="4">
        <v>1150</v>
      </c>
      <c r="G13" s="4">
        <f t="shared" si="0"/>
        <v>1150</v>
      </c>
    </row>
    <row r="14" spans="1:7" ht="15.6" x14ac:dyDescent="0.3">
      <c r="A14" s="3">
        <v>46266</v>
      </c>
      <c r="B14" s="2" t="s">
        <v>7</v>
      </c>
      <c r="C14" s="2" t="s">
        <v>23</v>
      </c>
      <c r="D14" s="2" t="s">
        <v>28</v>
      </c>
      <c r="E14" s="2">
        <v>9</v>
      </c>
      <c r="F14" s="4">
        <v>450</v>
      </c>
      <c r="G14" s="4">
        <f t="shared" si="0"/>
        <v>4050</v>
      </c>
    </row>
    <row r="15" spans="1:7" ht="15.6" x14ac:dyDescent="0.3">
      <c r="A15" s="3">
        <v>46267</v>
      </c>
      <c r="B15" s="2" t="s">
        <v>7</v>
      </c>
      <c r="C15" s="2" t="s">
        <v>24</v>
      </c>
      <c r="D15" s="2" t="s">
        <v>27</v>
      </c>
      <c r="E15" s="2">
        <v>2</v>
      </c>
      <c r="F15" s="4">
        <v>550</v>
      </c>
      <c r="G15" s="4">
        <f t="shared" si="0"/>
        <v>1100</v>
      </c>
    </row>
    <row r="16" spans="1:7" ht="15.6" x14ac:dyDescent="0.3">
      <c r="A16" s="3">
        <v>46268</v>
      </c>
      <c r="B16" s="2" t="s">
        <v>9</v>
      </c>
      <c r="C16" s="2" t="s">
        <v>25</v>
      </c>
      <c r="D16" s="2" t="s">
        <v>26</v>
      </c>
      <c r="E16" s="2">
        <v>1</v>
      </c>
      <c r="F16" s="4">
        <v>800</v>
      </c>
      <c r="G16" s="4">
        <f t="shared" si="0"/>
        <v>800</v>
      </c>
    </row>
    <row r="17" spans="1:7" ht="15.6" x14ac:dyDescent="0.3">
      <c r="A17" s="3">
        <v>46275</v>
      </c>
      <c r="B17" s="2" t="s">
        <v>9</v>
      </c>
      <c r="C17" s="2" t="s">
        <v>33</v>
      </c>
      <c r="D17" s="2" t="s">
        <v>29</v>
      </c>
      <c r="E17" s="2">
        <v>5</v>
      </c>
      <c r="F17" s="4">
        <v>90</v>
      </c>
      <c r="G17" s="4">
        <f>(E17*F17)</f>
        <v>450</v>
      </c>
    </row>
    <row r="18" spans="1:7" ht="15.6" x14ac:dyDescent="0.3">
      <c r="A18" s="3">
        <v>46276</v>
      </c>
      <c r="B18" s="2" t="s">
        <v>8</v>
      </c>
      <c r="C18" s="2" t="s">
        <v>34</v>
      </c>
      <c r="D18" s="2" t="s">
        <v>26</v>
      </c>
      <c r="E18" s="2">
        <v>1</v>
      </c>
      <c r="F18" s="4">
        <v>800</v>
      </c>
      <c r="G18" s="4">
        <f>(E18*F18)</f>
        <v>800</v>
      </c>
    </row>
    <row r="19" spans="1:7" ht="15.6" x14ac:dyDescent="0.3">
      <c r="A19" s="3">
        <v>46278</v>
      </c>
      <c r="B19" s="2" t="s">
        <v>7</v>
      </c>
      <c r="C19" s="2" t="s">
        <v>35</v>
      </c>
      <c r="D19" s="2" t="s">
        <v>30</v>
      </c>
      <c r="E19" s="2">
        <v>7</v>
      </c>
      <c r="F19" s="4">
        <v>1150</v>
      </c>
      <c r="G19" s="4">
        <f>(E19*F19)</f>
        <v>8050</v>
      </c>
    </row>
    <row r="20" spans="1:7" ht="15.6" x14ac:dyDescent="0.3">
      <c r="A20" s="3">
        <v>46279</v>
      </c>
      <c r="B20" s="2" t="s">
        <v>7</v>
      </c>
      <c r="C20" s="2" t="s">
        <v>36</v>
      </c>
      <c r="D20" s="2" t="s">
        <v>28</v>
      </c>
      <c r="E20" s="2">
        <v>8</v>
      </c>
      <c r="F20" s="4">
        <v>450</v>
      </c>
      <c r="G20" s="4">
        <f>(E20*F20)</f>
        <v>3600</v>
      </c>
    </row>
    <row r="21" spans="1:7" ht="15.6" x14ac:dyDescent="0.3">
      <c r="A21" s="3">
        <v>46282</v>
      </c>
      <c r="B21" s="2" t="s">
        <v>7</v>
      </c>
      <c r="C21" s="2" t="s">
        <v>37</v>
      </c>
      <c r="D21" s="2" t="s">
        <v>28</v>
      </c>
      <c r="E21" s="2">
        <v>6</v>
      </c>
      <c r="F21" s="4">
        <v>450</v>
      </c>
      <c r="G21" s="4">
        <f>(E21*F21)</f>
        <v>2700</v>
      </c>
    </row>
  </sheetData>
  <scenarios current="2" show="2" sqref="G2">
    <scenario name="Low Sales" locked="1" count="2" user="Lenovo" comment="Created by Lenovo on 10/1/2026">
      <inputCells r="E2" val="5"/>
      <inputCells r="F2" val="3000" numFmtId="44"/>
    </scenario>
    <scenario name="Medium Sales" locked="1" count="2" user="Lenovo" comment="Created by Lenovo on 10/1/2026">
      <inputCells r="E2" val="10"/>
      <inputCells r="F2" val="4000" numFmtId="44"/>
    </scenario>
    <scenario name="High Sales" locked="1" count="2" user="Lenovo" comment="Created by Lenovo on 10/1/2026">
      <inputCells r="E2" val="15"/>
      <inputCells r="F2" val="5000" numFmtId="44"/>
    </scenario>
  </scenario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75E62-ECB7-4BF0-A272-A32EAC2C2794}">
  <dimension ref="A1:C9"/>
  <sheetViews>
    <sheetView tabSelected="1" workbookViewId="0">
      <selection activeCell="A6" sqref="A6"/>
    </sheetView>
  </sheetViews>
  <sheetFormatPr defaultRowHeight="14.4" x14ac:dyDescent="0.3"/>
  <cols>
    <col min="1" max="1" width="16.109375" bestFit="1" customWidth="1"/>
    <col min="2" max="2" width="20.109375" bestFit="1" customWidth="1"/>
    <col min="3" max="3" width="16.109375" bestFit="1" customWidth="1"/>
    <col min="4" max="7" width="11.5546875" bestFit="1" customWidth="1"/>
    <col min="8" max="9" width="12.44140625" bestFit="1" customWidth="1"/>
  </cols>
  <sheetData>
    <row r="1" spans="1:3" x14ac:dyDescent="0.3">
      <c r="A1" s="1" t="s">
        <v>1</v>
      </c>
      <c r="B1" t="s">
        <v>58</v>
      </c>
    </row>
    <row r="2" spans="1:3" x14ac:dyDescent="0.3">
      <c r="A2" s="1" t="s">
        <v>3</v>
      </c>
      <c r="B2" t="s">
        <v>58</v>
      </c>
    </row>
    <row r="4" spans="1:3" x14ac:dyDescent="0.3">
      <c r="A4" s="1" t="s">
        <v>59</v>
      </c>
      <c r="B4" s="1" t="s">
        <v>60</v>
      </c>
      <c r="C4" t="s">
        <v>32</v>
      </c>
    </row>
    <row r="5" spans="1:3" x14ac:dyDescent="0.3">
      <c r="A5" t="s">
        <v>61</v>
      </c>
      <c r="B5" t="s">
        <v>62</v>
      </c>
      <c r="C5" s="5">
        <v>87900</v>
      </c>
    </row>
    <row r="6" spans="1:3" x14ac:dyDescent="0.3">
      <c r="B6" t="s">
        <v>63</v>
      </c>
      <c r="C6" s="5">
        <v>14240</v>
      </c>
    </row>
    <row r="7" spans="1:3" x14ac:dyDescent="0.3">
      <c r="B7" t="s">
        <v>64</v>
      </c>
      <c r="C7" s="5">
        <v>21550</v>
      </c>
    </row>
    <row r="8" spans="1:3" x14ac:dyDescent="0.3">
      <c r="A8" t="s">
        <v>65</v>
      </c>
      <c r="C8" s="5">
        <v>123690</v>
      </c>
    </row>
    <row r="9" spans="1:3" x14ac:dyDescent="0.3">
      <c r="A9" t="s">
        <v>31</v>
      </c>
      <c r="C9" s="5">
        <v>123690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1FB27-89F7-4934-96B7-0D91674582BB}">
  <dimension ref="A1:B8"/>
  <sheetViews>
    <sheetView workbookViewId="0">
      <selection activeCell="J15" sqref="J15"/>
    </sheetView>
  </sheetViews>
  <sheetFormatPr defaultRowHeight="14.4" x14ac:dyDescent="0.3"/>
  <cols>
    <col min="1" max="1" width="26.88671875" customWidth="1"/>
    <col min="2" max="2" width="11.44140625" bestFit="1" customWidth="1"/>
  </cols>
  <sheetData>
    <row r="1" spans="1:2" ht="16.2" thickTop="1" x14ac:dyDescent="0.3">
      <c r="A1" s="8" t="s">
        <v>38</v>
      </c>
      <c r="B1" s="9" t="s">
        <v>43</v>
      </c>
    </row>
    <row r="2" spans="1:2" ht="15.6" x14ac:dyDescent="0.3">
      <c r="A2" s="10" t="s">
        <v>3</v>
      </c>
      <c r="B2" s="11" t="s">
        <v>29</v>
      </c>
    </row>
    <row r="3" spans="1:2" ht="15.6" x14ac:dyDescent="0.3">
      <c r="A3" s="10" t="s">
        <v>5</v>
      </c>
      <c r="B3" s="12">
        <v>90</v>
      </c>
    </row>
    <row r="4" spans="1:2" ht="15.6" x14ac:dyDescent="0.3">
      <c r="A4" s="10" t="s">
        <v>39</v>
      </c>
      <c r="B4" s="11">
        <v>3</v>
      </c>
    </row>
    <row r="5" spans="1:2" ht="15.6" x14ac:dyDescent="0.3">
      <c r="A5" s="10" t="s">
        <v>40</v>
      </c>
      <c r="B5" s="12">
        <v>270</v>
      </c>
    </row>
    <row r="6" spans="1:2" ht="15.6" x14ac:dyDescent="0.3">
      <c r="A6" s="10" t="s">
        <v>41</v>
      </c>
      <c r="B6" s="12">
        <v>5000</v>
      </c>
    </row>
    <row r="7" spans="1:2" ht="16.2" thickBot="1" x14ac:dyDescent="0.35">
      <c r="A7" s="13" t="s">
        <v>42</v>
      </c>
      <c r="B7" s="14">
        <v>55.5555555555556</v>
      </c>
    </row>
    <row r="8" spans="1:2" ht="15" thickTop="1"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655E8-91F1-4F98-83E9-9024B9252563}">
  <sheetPr>
    <outlinePr summaryBelow="0"/>
  </sheetPr>
  <dimension ref="B1:G12"/>
  <sheetViews>
    <sheetView showGridLines="0" workbookViewId="0">
      <selection activeCell="F7" sqref="F7"/>
    </sheetView>
  </sheetViews>
  <sheetFormatPr defaultRowHeight="14.4" outlineLevelRow="1" outlineLevelCol="1" x14ac:dyDescent="0.3"/>
  <cols>
    <col min="3" max="3" width="5.33203125" bestFit="1" customWidth="1"/>
    <col min="4" max="7" width="12.6640625" bestFit="1" customWidth="1" outlineLevel="1"/>
  </cols>
  <sheetData>
    <row r="1" spans="2:7" ht="15" thickBot="1" x14ac:dyDescent="0.35"/>
    <row r="2" spans="2:7" ht="15.6" x14ac:dyDescent="0.3">
      <c r="B2" s="17" t="s">
        <v>51</v>
      </c>
      <c r="C2" s="17"/>
      <c r="D2" s="22"/>
      <c r="E2" s="22"/>
      <c r="F2" s="22"/>
      <c r="G2" s="22"/>
    </row>
    <row r="3" spans="2:7" ht="15.6" collapsed="1" x14ac:dyDescent="0.3">
      <c r="B3" s="16"/>
      <c r="C3" s="16"/>
      <c r="D3" s="23" t="s">
        <v>53</v>
      </c>
      <c r="E3" s="23" t="s">
        <v>47</v>
      </c>
      <c r="F3" s="23" t="s">
        <v>49</v>
      </c>
      <c r="G3" s="23" t="s">
        <v>50</v>
      </c>
    </row>
    <row r="4" spans="2:7" ht="21.6" hidden="1" outlineLevel="1" x14ac:dyDescent="0.3">
      <c r="B4" s="19"/>
      <c r="C4" s="19"/>
      <c r="E4" s="26" t="s">
        <v>48</v>
      </c>
      <c r="F4" s="26" t="s">
        <v>48</v>
      </c>
      <c r="G4" s="26" t="s">
        <v>48</v>
      </c>
    </row>
    <row r="5" spans="2:7" x14ac:dyDescent="0.3">
      <c r="B5" s="20" t="s">
        <v>52</v>
      </c>
      <c r="C5" s="20"/>
      <c r="D5" s="18"/>
      <c r="E5" s="18"/>
      <c r="F5" s="18"/>
      <c r="G5" s="18"/>
    </row>
    <row r="6" spans="2:7" outlineLevel="1" x14ac:dyDescent="0.3">
      <c r="B6" s="19"/>
      <c r="C6" s="19" t="s">
        <v>44</v>
      </c>
      <c r="D6">
        <v>15</v>
      </c>
      <c r="E6" s="24">
        <v>5</v>
      </c>
      <c r="F6" s="24">
        <v>10</v>
      </c>
      <c r="G6" s="24">
        <v>15</v>
      </c>
    </row>
    <row r="7" spans="2:7" outlineLevel="1" x14ac:dyDescent="0.3">
      <c r="B7" s="19"/>
      <c r="C7" s="19" t="s">
        <v>45</v>
      </c>
      <c r="D7" s="5">
        <v>5000</v>
      </c>
      <c r="E7" s="25">
        <v>3000</v>
      </c>
      <c r="F7" s="25">
        <v>4000</v>
      </c>
      <c r="G7" s="25">
        <v>5000</v>
      </c>
    </row>
    <row r="8" spans="2:7" x14ac:dyDescent="0.3">
      <c r="B8" s="20" t="s">
        <v>54</v>
      </c>
      <c r="C8" s="20"/>
      <c r="D8" s="18"/>
      <c r="E8" s="18"/>
      <c r="F8" s="18"/>
      <c r="G8" s="18"/>
    </row>
    <row r="9" spans="2:7" ht="15" outlineLevel="1" thickBot="1" x14ac:dyDescent="0.35">
      <c r="B9" s="21"/>
      <c r="C9" s="21" t="s">
        <v>46</v>
      </c>
      <c r="D9" s="15">
        <v>75000</v>
      </c>
      <c r="E9" s="15">
        <v>15000</v>
      </c>
      <c r="F9" s="15">
        <v>40000</v>
      </c>
      <c r="G9" s="15">
        <v>75000</v>
      </c>
    </row>
    <row r="10" spans="2:7" x14ac:dyDescent="0.3">
      <c r="B10" t="s">
        <v>55</v>
      </c>
    </row>
    <row r="11" spans="2:7" x14ac:dyDescent="0.3">
      <c r="B11" t="s">
        <v>56</v>
      </c>
    </row>
    <row r="12" spans="2:7" x14ac:dyDescent="0.3">
      <c r="B12"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Pivot Report</vt:lpstr>
      <vt:lpstr>Goal Seek Result</vt:lpstr>
      <vt:lpstr>Scenario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t84947</dc:creator>
  <cp:lastModifiedBy>t84947</cp:lastModifiedBy>
  <dcterms:created xsi:type="dcterms:W3CDTF">2026-09-30T12:42:22Z</dcterms:created>
  <dcterms:modified xsi:type="dcterms:W3CDTF">2026-09-30T22:39:37Z</dcterms:modified>
</cp:coreProperties>
</file>